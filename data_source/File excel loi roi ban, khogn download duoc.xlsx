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 excel loi roi ban, khogn d" sheetId="1" r:id="rId5"/>
    <sheet state="visible" name="Nhóm" sheetId="2" r:id="rId6"/>
    <sheet state="visible" name="Chi tiết" sheetId="3" r:id="rId7"/>
  </sheets>
  <definedNames/>
  <calcPr/>
</workbook>
</file>

<file path=xl/sharedStrings.xml><?xml version="1.0" encoding="utf-8"?>
<sst xmlns="http://schemas.openxmlformats.org/spreadsheetml/2006/main" count="250" uniqueCount="160">
  <si>
    <t>STT</t>
  </si>
  <si>
    <t>Hạng mục đầu tư</t>
  </si>
  <si>
    <t>Đơn vị</t>
  </si>
  <si>
    <t>SL</t>
  </si>
  <si>
    <t>Đơn giá thực tế (VNĐ)</t>
  </si>
  <si>
    <t>Tồng thực tế</t>
  </si>
  <si>
    <t>Chi phí dự phòng (10%)</t>
  </si>
  <si>
    <t>Tổng cộng (VNĐ)</t>
  </si>
  <si>
    <t>I</t>
  </si>
  <si>
    <t>HỆ THỐNG LỌC RO (CỘT INOX)</t>
  </si>
  <si>
    <t>132.000.000</t>
  </si>
  <si>
    <t>Bộ cột lọc thô Inox 304 (3 cột)</t>
  </si>
  <si>
    <t>Bộ</t>
  </si>
  <si>
    <t>35.000.000</t>
  </si>
  <si>
    <t>3.500.000</t>
  </si>
  <si>
    <t>38.500.000</t>
  </si>
  <si>
    <t>Vật liệu lọc tổng hợp (Mỹ/VN)</t>
  </si>
  <si>
    <t>Lô</t>
  </si>
  <si>
    <t>8.000.000</t>
  </si>
  <si>
    <t>8.800.000</t>
  </si>
  <si>
    <t>Hệ thống màng RO 4040 (3 màng)</t>
  </si>
  <si>
    <t>Cái</t>
  </si>
  <si>
    <t>6.000.000</t>
  </si>
  <si>
    <t>1.800.000</t>
  </si>
  <si>
    <t>19.800.000</t>
  </si>
  <si>
    <t>Bơm cao áp trục đứng Inox</t>
  </si>
  <si>
    <t>12.000.000</t>
  </si>
  <si>
    <t>1.200.000</t>
  </si>
  <si>
    <t>13.200.000</t>
  </si>
  <si>
    <t>Tủ điện điều khiển &amp; Biến tần</t>
  </si>
  <si>
    <t>10.000.000</t>
  </si>
  <si>
    <t>1.000.000</t>
  </si>
  <si>
    <t>11.000.000</t>
  </si>
  <si>
    <t>Đèn UV &amp; Máy Ozone diệt khuẩn</t>
  </si>
  <si>
    <t>Khung máy &amp; Hệ thống ống vi sinh</t>
  </si>
  <si>
    <t>Gói</t>
  </si>
  <si>
    <t>25.000.000</t>
  </si>
  <si>
    <t>2.500.000</t>
  </si>
  <si>
    <t>27.500.000</t>
  </si>
  <si>
    <t>II</t>
  </si>
  <si>
    <t>DÂY CHUYỀN CHIẾT RÓT</t>
  </si>
  <si>
    <t>66.000.000</t>
  </si>
  <si>
    <t>Bàn chiết &amp; súc rửa bình 21L</t>
  </si>
  <si>
    <t>15.000.000</t>
  </si>
  <si>
    <t>1.500.000</t>
  </si>
  <si>
    <t>16.500.000</t>
  </si>
  <si>
    <t>Máy chiết chai 350ml/1.5L (4 vòi)</t>
  </si>
  <si>
    <t>Bồn chứa Inox 316 (2m3 x 2 bồn)</t>
  </si>
  <si>
    <t>2.000.000</t>
  </si>
  <si>
    <t>22.000.000</t>
  </si>
  <si>
    <t>III</t>
  </si>
  <si>
    <t>CHI PHÍ VẬN HÀNH BAN ĐẦU</t>
  </si>
  <si>
    <t>71.500.000</t>
  </si>
  <si>
    <t>Vỏ bình 21L (Xoay vòng)</t>
  </si>
  <si>
    <t>Bình</t>
  </si>
  <si>
    <t>2.250.000</t>
  </si>
  <si>
    <t>24.750.000</t>
  </si>
  <si>
    <t>Vỏ chai 350ml &amp; 1.5L (Lô đầu)</t>
  </si>
  <si>
    <t>Chai</t>
  </si>
  <si>
    <t>5.500.000</t>
  </si>
  <si>
    <t>Thiết kế &amp; In tem nhãn, màng co</t>
  </si>
  <si>
    <t>Hồ sơ pháp lý &amp; Kiểm định mẫu</t>
  </si>
  <si>
    <t>Máy đóng nắp &amp; Máy khò nhiệt</t>
  </si>
  <si>
    <t>3.000.000</t>
  </si>
  <si>
    <t>8.250.000</t>
  </si>
  <si>
    <t>IV</t>
  </si>
  <si>
    <t>CẢI TẠO NHÀ XƯỞNG (~80m2)</t>
  </si>
  <si>
    <t>30.000.000</t>
  </si>
  <si>
    <t>5.000.000</t>
  </si>
  <si>
    <t>TỔNG CỘNG VỐN ĐẦU TƯ</t>
  </si>
  <si>
    <t>304.500.000</t>
  </si>
  <si>
    <t>Nhóm</t>
  </si>
  <si>
    <t>Thiết bị / Hạng mục</t>
  </si>
  <si>
    <t>Chi phí thực tế (VNĐ)</t>
  </si>
  <si>
    <t>Dự phòng (10%)</t>
  </si>
  <si>
    <t>Hệ lọc</t>
  </si>
  <si>
    <t>Dàn lọc INOX &amp; Hệ RO 1000L/h (Trọn bộ)</t>
  </si>
  <si>
    <t>127.000.000</t>
  </si>
  <si>
    <t>12.700.000</t>
  </si>
  <si>
    <t>139.700.000</t>
  </si>
  <si>
    <t>Bình 21L</t>
  </si>
  <si>
    <t>Máy rửa, Chiết, Đóng nắp, Co màng</t>
  </si>
  <si>
    <t>53.000.000</t>
  </si>
  <si>
    <t>5.300.000</t>
  </si>
  <si>
    <t>58.300.000</t>
  </si>
  <si>
    <t>Chai nhỏ</t>
  </si>
  <si>
    <t>Máy chiết 4 vòi, Đóng nắp, Dán nhãn, Co màng</t>
  </si>
  <si>
    <t>82.000.000</t>
  </si>
  <si>
    <t>8.200.000</t>
  </si>
  <si>
    <t>90.200.000</t>
  </si>
  <si>
    <t>Hạ tầng</t>
  </si>
  <si>
    <t>Nhà xưởng, Phòng sạch, Điện 3 pha</t>
  </si>
  <si>
    <t>100.000.000</t>
  </si>
  <si>
    <t>17.000.000</t>
  </si>
  <si>
    <t>117.000.000</t>
  </si>
  <si>
    <t>Vỏ bình</t>
  </si>
  <si>
    <t>Vỏ bình 21L mới (Loại tốt)</t>
  </si>
  <si>
    <t>27.000.000</t>
  </si>
  <si>
    <t>2.700.000</t>
  </si>
  <si>
    <t>29.700.000</t>
  </si>
  <si>
    <t>Vận hành</t>
  </si>
  <si>
    <t>Tem nhãn, hồ sơ pháp lý, vật tư phụ</t>
  </si>
  <si>
    <t>33.000.000</t>
  </si>
  <si>
    <t>TỔNG CỘNG</t>
  </si>
  <si>
    <t>419.000.000</t>
  </si>
  <si>
    <t>48.900.000</t>
  </si>
  <si>
    <t>467.900.000</t>
  </si>
  <si>
    <t>Thiết bị</t>
  </si>
  <si>
    <t>Mô tả</t>
  </si>
  <si>
    <t>Chi phí thực tế (Ước tính)</t>
  </si>
  <si>
    <t>Hệ lọc INOX</t>
  </si>
  <si>
    <t>Cột lọc đa tầng INOX</t>
  </si>
  <si>
    <t>Lọc cặn thô</t>
  </si>
  <si>
    <t>Cột than hoạt tính INOX</t>
  </si>
  <si>
    <t>Khử mùi, Clo</t>
  </si>
  <si>
    <t>Cột làm mềm INOX</t>
  </si>
  <si>
    <t>Giảm độ cứng</t>
  </si>
  <si>
    <t>14.000.000</t>
  </si>
  <si>
    <t>1.400.000</t>
  </si>
  <si>
    <t>15.400.000</t>
  </si>
  <si>
    <t>Hệ RO 1000L/h</t>
  </si>
  <si>
    <t>Lọc tinh (Màng RO)</t>
  </si>
  <si>
    <t>65.000.000</t>
  </si>
  <si>
    <t>6.500.000</t>
  </si>
  <si>
    <t>Đèn UV</t>
  </si>
  <si>
    <t>Diệt khuẩn</t>
  </si>
  <si>
    <t>Ozone</t>
  </si>
  <si>
    <t>Khử khuẩn sâu</t>
  </si>
  <si>
    <t>7.000.000</t>
  </si>
  <si>
    <t>7.700.000</t>
  </si>
  <si>
    <t>Bồn INOX</t>
  </si>
  <si>
    <t>Chứa nước sạch (2-3m3)</t>
  </si>
  <si>
    <t>Máy rửa bình</t>
  </si>
  <si>
    <t>Rửa trong ngoài</t>
  </si>
  <si>
    <t>Máy chiết rót</t>
  </si>
  <si>
    <t>Chiết nước bình lớn</t>
  </si>
  <si>
    <t>Máy đóng nắp</t>
  </si>
  <si>
    <t>Đóng nắp bình</t>
  </si>
  <si>
    <t>Máy co màng</t>
  </si>
  <si>
    <t>Niêm phong</t>
  </si>
  <si>
    <t>Máy chiết 4 vòi</t>
  </si>
  <si>
    <t>Chiết chai nhỏ</t>
  </si>
  <si>
    <t>Đóng nắp chai</t>
  </si>
  <si>
    <t>Máy dán nhãn</t>
  </si>
  <si>
    <t>Dán tem tự động/bán tự động</t>
  </si>
  <si>
    <t>20.000.000</t>
  </si>
  <si>
    <t>Co màng lốc/màng chai</t>
  </si>
  <si>
    <t>Nhà xưởng 100-150m2</t>
  </si>
  <si>
    <t>Cải tạo, nền, cống</t>
  </si>
  <si>
    <t>50.000.000</t>
  </si>
  <si>
    <t>60.000.000</t>
  </si>
  <si>
    <t>Phòng sạch</t>
  </si>
  <si>
    <t>Panel cách nhiệt/kính</t>
  </si>
  <si>
    <t>Điện nước</t>
  </si>
  <si>
    <t>Hệ thống 3 pha</t>
  </si>
  <si>
    <t>4.000.000</t>
  </si>
  <si>
    <t>24.000.000</t>
  </si>
  <si>
    <t>382.000.000</t>
  </si>
  <si>
    <t>44.200.000</t>
  </si>
  <si>
    <t>426.200.000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</si>
</sst>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3" max="3" width="14.75"/>
    <col customWidth="1" min="4" max="5" width="22.75"/>
    <col customWidth="1" min="6" max="7" width="21.88"/>
    <col customWidth="1" min="8" max="8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H2" s="1" t="s">
        <v>10</v>
      </c>
    </row>
    <row r="3">
      <c r="A3" s="1">
        <v>1.0</v>
      </c>
      <c r="B3" s="1" t="s">
        <v>11</v>
      </c>
      <c r="C3" s="1" t="s">
        <v>12</v>
      </c>
      <c r="D3" s="1">
        <v>1.0</v>
      </c>
      <c r="E3" s="1" t="s">
        <v>13</v>
      </c>
      <c r="F3" s="1" t="str">
        <f>E3*D3</f>
        <v>#VALUE!</v>
      </c>
      <c r="G3" s="1" t="s">
        <v>14</v>
      </c>
      <c r="H3" s="1" t="s">
        <v>15</v>
      </c>
    </row>
    <row r="4">
      <c r="A4" s="1">
        <v>2.0</v>
      </c>
      <c r="B4" s="1" t="s">
        <v>16</v>
      </c>
      <c r="C4" s="1" t="s">
        <v>17</v>
      </c>
      <c r="D4" s="1">
        <v>1.0</v>
      </c>
      <c r="E4" s="1" t="s">
        <v>18</v>
      </c>
      <c r="F4" s="1"/>
      <c r="G4" s="1">
        <v>800.0</v>
      </c>
      <c r="H4" s="1" t="s">
        <v>19</v>
      </c>
    </row>
    <row r="5">
      <c r="A5" s="1">
        <v>3.0</v>
      </c>
      <c r="B5" s="1" t="s">
        <v>20</v>
      </c>
      <c r="C5" s="1" t="s">
        <v>21</v>
      </c>
      <c r="D5" s="1">
        <v>3.0</v>
      </c>
      <c r="E5" s="1" t="s">
        <v>22</v>
      </c>
      <c r="F5" s="1"/>
      <c r="G5" s="1" t="s">
        <v>23</v>
      </c>
      <c r="H5" s="1" t="s">
        <v>24</v>
      </c>
    </row>
    <row r="6">
      <c r="A6" s="1">
        <v>4.0</v>
      </c>
      <c r="B6" s="1" t="s">
        <v>25</v>
      </c>
      <c r="C6" s="1" t="s">
        <v>21</v>
      </c>
      <c r="D6" s="1">
        <v>1.0</v>
      </c>
      <c r="E6" s="1" t="s">
        <v>26</v>
      </c>
      <c r="F6" s="1"/>
      <c r="G6" s="1" t="s">
        <v>27</v>
      </c>
      <c r="H6" s="1" t="s">
        <v>28</v>
      </c>
    </row>
    <row r="7">
      <c r="A7" s="1">
        <v>5.0</v>
      </c>
      <c r="B7" s="1" t="s">
        <v>29</v>
      </c>
      <c r="C7" s="1" t="s">
        <v>12</v>
      </c>
      <c r="D7" s="1">
        <v>1.0</v>
      </c>
      <c r="E7" s="1" t="s">
        <v>30</v>
      </c>
      <c r="F7" s="1"/>
      <c r="G7" s="1" t="s">
        <v>31</v>
      </c>
      <c r="H7" s="1" t="s">
        <v>32</v>
      </c>
    </row>
    <row r="8">
      <c r="A8" s="1">
        <v>6.0</v>
      </c>
      <c r="B8" s="1" t="s">
        <v>33</v>
      </c>
      <c r="C8" s="1" t="s">
        <v>12</v>
      </c>
      <c r="D8" s="1">
        <v>1.0</v>
      </c>
      <c r="E8" s="1" t="s">
        <v>26</v>
      </c>
      <c r="F8" s="1"/>
      <c r="G8" s="1" t="s">
        <v>27</v>
      </c>
      <c r="H8" s="1" t="s">
        <v>28</v>
      </c>
    </row>
    <row r="9">
      <c r="A9" s="1">
        <v>7.0</v>
      </c>
      <c r="B9" s="1" t="s">
        <v>34</v>
      </c>
      <c r="C9" s="1" t="s">
        <v>35</v>
      </c>
      <c r="D9" s="1">
        <v>1.0</v>
      </c>
      <c r="E9" s="1" t="s">
        <v>36</v>
      </c>
      <c r="F9" s="1"/>
      <c r="G9" s="1" t="s">
        <v>37</v>
      </c>
      <c r="H9" s="1" t="s">
        <v>38</v>
      </c>
    </row>
    <row r="10">
      <c r="A10" s="1" t="s">
        <v>39</v>
      </c>
      <c r="B10" s="1" t="s">
        <v>40</v>
      </c>
      <c r="H10" s="1" t="s">
        <v>41</v>
      </c>
    </row>
    <row r="11">
      <c r="A11" s="1">
        <v>8.0</v>
      </c>
      <c r="B11" s="1" t="s">
        <v>42</v>
      </c>
      <c r="C11" s="1" t="s">
        <v>12</v>
      </c>
      <c r="D11" s="1">
        <v>1.0</v>
      </c>
      <c r="E11" s="1" t="s">
        <v>43</v>
      </c>
      <c r="F11" s="1"/>
      <c r="G11" s="1" t="s">
        <v>44</v>
      </c>
      <c r="H11" s="1" t="s">
        <v>45</v>
      </c>
    </row>
    <row r="12">
      <c r="A12" s="1">
        <v>9.0</v>
      </c>
      <c r="B12" s="1" t="s">
        <v>46</v>
      </c>
      <c r="C12" s="1" t="s">
        <v>21</v>
      </c>
      <c r="D12" s="1">
        <v>1.0</v>
      </c>
      <c r="E12" s="1" t="s">
        <v>36</v>
      </c>
      <c r="F12" s="1"/>
      <c r="G12" s="1" t="s">
        <v>37</v>
      </c>
      <c r="H12" s="1" t="s">
        <v>38</v>
      </c>
    </row>
    <row r="13">
      <c r="A13" s="1">
        <v>10.0</v>
      </c>
      <c r="B13" s="1" t="s">
        <v>47</v>
      </c>
      <c r="C13" s="1" t="s">
        <v>21</v>
      </c>
      <c r="D13" s="1">
        <v>2.0</v>
      </c>
      <c r="E13" s="1" t="s">
        <v>30</v>
      </c>
      <c r="F13" s="1"/>
      <c r="G13" s="1" t="s">
        <v>48</v>
      </c>
      <c r="H13" s="1" t="s">
        <v>49</v>
      </c>
    </row>
    <row r="14">
      <c r="A14" s="1" t="s">
        <v>50</v>
      </c>
      <c r="B14" s="1" t="s">
        <v>51</v>
      </c>
      <c r="H14" s="1" t="s">
        <v>52</v>
      </c>
    </row>
    <row r="15">
      <c r="A15" s="1">
        <v>11.0</v>
      </c>
      <c r="B15" s="1" t="s">
        <v>53</v>
      </c>
      <c r="C15" s="1" t="s">
        <v>54</v>
      </c>
      <c r="D15" s="1">
        <v>500.0</v>
      </c>
      <c r="E15" s="1">
        <v>45.0</v>
      </c>
      <c r="F15" s="1"/>
      <c r="G15" s="1" t="s">
        <v>55</v>
      </c>
      <c r="H15" s="1" t="s">
        <v>56</v>
      </c>
    </row>
    <row r="16">
      <c r="A16" s="1">
        <v>12.0</v>
      </c>
      <c r="B16" s="1" t="s">
        <v>57</v>
      </c>
      <c r="C16" s="1" t="s">
        <v>58</v>
      </c>
      <c r="D16" s="1">
        <v>2000.0</v>
      </c>
      <c r="E16" s="1">
        <v>2.5</v>
      </c>
      <c r="F16" s="1"/>
      <c r="G16" s="1">
        <v>500.0</v>
      </c>
      <c r="H16" s="1" t="s">
        <v>59</v>
      </c>
    </row>
    <row r="17">
      <c r="A17" s="1">
        <v>13.0</v>
      </c>
      <c r="B17" s="1" t="s">
        <v>60</v>
      </c>
      <c r="C17" s="1" t="s">
        <v>35</v>
      </c>
      <c r="D17" s="1">
        <v>1.0</v>
      </c>
      <c r="E17" s="1" t="s">
        <v>43</v>
      </c>
      <c r="F17" s="1"/>
      <c r="G17" s="1" t="s">
        <v>44</v>
      </c>
      <c r="H17" s="1" t="s">
        <v>45</v>
      </c>
    </row>
    <row r="18">
      <c r="A18" s="1">
        <v>14.0</v>
      </c>
      <c r="B18" s="1" t="s">
        <v>61</v>
      </c>
      <c r="C18" s="1" t="s">
        <v>35</v>
      </c>
      <c r="D18" s="1">
        <v>1.0</v>
      </c>
      <c r="E18" s="1" t="s">
        <v>43</v>
      </c>
      <c r="F18" s="1"/>
      <c r="G18" s="1" t="s">
        <v>44</v>
      </c>
      <c r="H18" s="1" t="s">
        <v>45</v>
      </c>
    </row>
    <row r="19">
      <c r="A19" s="1">
        <v>15.0</v>
      </c>
      <c r="B19" s="1" t="s">
        <v>62</v>
      </c>
      <c r="C19" s="1" t="s">
        <v>12</v>
      </c>
      <c r="D19" s="1">
        <v>2.0</v>
      </c>
      <c r="E19" s="1" t="s">
        <v>63</v>
      </c>
      <c r="F19" s="1"/>
      <c r="G19" s="1">
        <v>600.0</v>
      </c>
      <c r="H19" s="1" t="s">
        <v>64</v>
      </c>
    </row>
    <row r="20">
      <c r="A20" s="1" t="s">
        <v>65</v>
      </c>
      <c r="B20" s="1" t="s">
        <v>66</v>
      </c>
      <c r="C20" s="1" t="s">
        <v>35</v>
      </c>
      <c r="D20" s="1">
        <v>1.0</v>
      </c>
      <c r="E20" s="1" t="s">
        <v>67</v>
      </c>
      <c r="F20" s="1"/>
      <c r="G20" s="1" t="s">
        <v>68</v>
      </c>
      <c r="H20" s="1" t="s">
        <v>13</v>
      </c>
    </row>
    <row r="21">
      <c r="B21" s="1" t="s">
        <v>69</v>
      </c>
      <c r="H21" s="1" t="s">
        <v>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71</v>
      </c>
      <c r="B1" s="2" t="s">
        <v>72</v>
      </c>
      <c r="C1" s="2" t="s">
        <v>3</v>
      </c>
      <c r="D1" s="2" t="s">
        <v>73</v>
      </c>
      <c r="E1" s="2" t="s">
        <v>74</v>
      </c>
      <c r="F1" s="2" t="s">
        <v>7</v>
      </c>
    </row>
    <row r="2">
      <c r="A2" s="3" t="s">
        <v>75</v>
      </c>
      <c r="B2" s="2" t="s">
        <v>76</v>
      </c>
      <c r="C2" s="2">
        <v>1.0</v>
      </c>
      <c r="D2" s="2" t="s">
        <v>77</v>
      </c>
      <c r="E2" s="2" t="s">
        <v>78</v>
      </c>
      <c r="F2" s="2" t="s">
        <v>79</v>
      </c>
    </row>
    <row r="3">
      <c r="A3" s="3" t="s">
        <v>80</v>
      </c>
      <c r="B3" s="2" t="s">
        <v>81</v>
      </c>
      <c r="C3" s="2">
        <v>1.0</v>
      </c>
      <c r="D3" s="2" t="s">
        <v>82</v>
      </c>
      <c r="E3" s="2" t="s">
        <v>83</v>
      </c>
      <c r="F3" s="2" t="s">
        <v>84</v>
      </c>
    </row>
    <row r="4">
      <c r="A4" s="3" t="s">
        <v>85</v>
      </c>
      <c r="B4" s="2" t="s">
        <v>86</v>
      </c>
      <c r="C4" s="2">
        <v>1.0</v>
      </c>
      <c r="D4" s="2" t="s">
        <v>87</v>
      </c>
      <c r="E4" s="2" t="s">
        <v>88</v>
      </c>
      <c r="F4" s="2" t="s">
        <v>89</v>
      </c>
    </row>
    <row r="5">
      <c r="A5" s="3" t="s">
        <v>90</v>
      </c>
      <c r="B5" s="2" t="s">
        <v>91</v>
      </c>
      <c r="C5" s="2">
        <v>1.0</v>
      </c>
      <c r="D5" s="2" t="s">
        <v>92</v>
      </c>
      <c r="E5" s="2" t="s">
        <v>93</v>
      </c>
      <c r="F5" s="2" t="s">
        <v>94</v>
      </c>
    </row>
    <row r="6">
      <c r="A6" s="3" t="s">
        <v>95</v>
      </c>
      <c r="B6" s="3" t="s">
        <v>96</v>
      </c>
      <c r="C6" s="3">
        <v>600.0</v>
      </c>
      <c r="D6" s="3" t="s">
        <v>97</v>
      </c>
      <c r="E6" s="3" t="s">
        <v>98</v>
      </c>
      <c r="F6" s="3" t="s">
        <v>99</v>
      </c>
    </row>
    <row r="7">
      <c r="A7" s="3" t="s">
        <v>100</v>
      </c>
      <c r="B7" s="2" t="s">
        <v>101</v>
      </c>
      <c r="C7" s="2">
        <v>1.0</v>
      </c>
      <c r="D7" s="2" t="s">
        <v>67</v>
      </c>
      <c r="E7" s="2" t="s">
        <v>63</v>
      </c>
      <c r="F7" s="2" t="s">
        <v>102</v>
      </c>
    </row>
    <row r="8">
      <c r="A8" s="3" t="s">
        <v>103</v>
      </c>
      <c r="B8" s="4"/>
      <c r="C8" s="4"/>
      <c r="D8" s="3" t="s">
        <v>104</v>
      </c>
      <c r="E8" s="3" t="s">
        <v>105</v>
      </c>
      <c r="F8" s="3" t="s">
        <v>106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25.25"/>
    <col customWidth="1" min="5" max="5" width="30.63"/>
    <col customWidth="1" min="6" max="6" width="38.13"/>
    <col customWidth="1" min="7" max="7" width="33.75"/>
  </cols>
  <sheetData>
    <row r="1">
      <c r="A1" s="2" t="s">
        <v>71</v>
      </c>
      <c r="B1" s="2" t="s">
        <v>107</v>
      </c>
      <c r="C1" s="2" t="s">
        <v>108</v>
      </c>
      <c r="D1" s="2" t="s">
        <v>3</v>
      </c>
      <c r="E1" s="2" t="s">
        <v>109</v>
      </c>
      <c r="F1" s="2" t="s">
        <v>74</v>
      </c>
      <c r="G1" s="2" t="s">
        <v>7</v>
      </c>
    </row>
    <row r="2">
      <c r="A2" s="3" t="s">
        <v>110</v>
      </c>
      <c r="B2" s="2" t="s">
        <v>111</v>
      </c>
      <c r="C2" s="2" t="s">
        <v>112</v>
      </c>
      <c r="D2" s="2">
        <v>1.0</v>
      </c>
      <c r="E2" s="2" t="s">
        <v>26</v>
      </c>
      <c r="F2" s="2" t="s">
        <v>27</v>
      </c>
      <c r="G2" s="2" t="s">
        <v>28</v>
      </c>
    </row>
    <row r="3">
      <c r="A3" s="3" t="s">
        <v>110</v>
      </c>
      <c r="B3" s="2" t="s">
        <v>113</v>
      </c>
      <c r="C3" s="2" t="s">
        <v>114</v>
      </c>
      <c r="D3" s="2">
        <v>1.0</v>
      </c>
      <c r="E3" s="2" t="s">
        <v>26</v>
      </c>
      <c r="F3" s="2" t="s">
        <v>27</v>
      </c>
      <c r="G3" s="2" t="s">
        <v>28</v>
      </c>
    </row>
    <row r="4">
      <c r="A4" s="3" t="s">
        <v>110</v>
      </c>
      <c r="B4" s="2" t="s">
        <v>115</v>
      </c>
      <c r="C4" s="2" t="s">
        <v>116</v>
      </c>
      <c r="D4" s="2">
        <v>1.0</v>
      </c>
      <c r="E4" s="2" t="s">
        <v>117</v>
      </c>
      <c r="F4" s="2" t="s">
        <v>118</v>
      </c>
      <c r="G4" s="2" t="s">
        <v>119</v>
      </c>
    </row>
    <row r="5">
      <c r="A5" s="3" t="s">
        <v>75</v>
      </c>
      <c r="B5" s="2" t="s">
        <v>120</v>
      </c>
      <c r="C5" s="2" t="s">
        <v>121</v>
      </c>
      <c r="D5" s="2">
        <v>1.0</v>
      </c>
      <c r="E5" s="2" t="s">
        <v>122</v>
      </c>
      <c r="F5" s="2" t="s">
        <v>123</v>
      </c>
      <c r="G5" s="2" t="s">
        <v>52</v>
      </c>
    </row>
    <row r="6">
      <c r="A6" s="3" t="s">
        <v>75</v>
      </c>
      <c r="B6" s="2" t="s">
        <v>124</v>
      </c>
      <c r="C6" s="2" t="s">
        <v>125</v>
      </c>
      <c r="D6" s="2">
        <v>1.0</v>
      </c>
      <c r="E6" s="2" t="s">
        <v>68</v>
      </c>
      <c r="F6" s="2">
        <v>500.0</v>
      </c>
      <c r="G6" s="2" t="s">
        <v>59</v>
      </c>
    </row>
    <row r="7">
      <c r="A7" s="3" t="s">
        <v>75</v>
      </c>
      <c r="B7" s="2" t="s">
        <v>126</v>
      </c>
      <c r="C7" s="2" t="s">
        <v>127</v>
      </c>
      <c r="D7" s="2">
        <v>1.0</v>
      </c>
      <c r="E7" s="2" t="s">
        <v>128</v>
      </c>
      <c r="F7" s="2">
        <v>700.0</v>
      </c>
      <c r="G7" s="2" t="s">
        <v>129</v>
      </c>
    </row>
    <row r="8">
      <c r="A8" s="3" t="s">
        <v>75</v>
      </c>
      <c r="B8" s="2" t="s">
        <v>130</v>
      </c>
      <c r="C8" s="2" t="s">
        <v>131</v>
      </c>
      <c r="D8" s="2">
        <v>1.0</v>
      </c>
      <c r="E8" s="2" t="s">
        <v>26</v>
      </c>
      <c r="F8" s="2" t="s">
        <v>27</v>
      </c>
      <c r="G8" s="2" t="s">
        <v>28</v>
      </c>
    </row>
    <row r="9">
      <c r="A9" s="3" t="s">
        <v>80</v>
      </c>
      <c r="B9" s="2" t="s">
        <v>132</v>
      </c>
      <c r="C9" s="2" t="s">
        <v>133</v>
      </c>
      <c r="D9" s="2">
        <v>1.0</v>
      </c>
      <c r="E9" s="2" t="s">
        <v>36</v>
      </c>
      <c r="F9" s="2" t="s">
        <v>37</v>
      </c>
      <c r="G9" s="2" t="s">
        <v>38</v>
      </c>
    </row>
    <row r="10">
      <c r="A10" s="3" t="s">
        <v>80</v>
      </c>
      <c r="B10" s="2" t="s">
        <v>134</v>
      </c>
      <c r="C10" s="2" t="s">
        <v>135</v>
      </c>
      <c r="D10" s="2">
        <v>1.0</v>
      </c>
      <c r="E10" s="2" t="s">
        <v>43</v>
      </c>
      <c r="F10" s="2" t="s">
        <v>44</v>
      </c>
      <c r="G10" s="2" t="s">
        <v>45</v>
      </c>
    </row>
    <row r="11">
      <c r="A11" s="3" t="s">
        <v>80</v>
      </c>
      <c r="B11" s="2" t="s">
        <v>136</v>
      </c>
      <c r="C11" s="2" t="s">
        <v>137</v>
      </c>
      <c r="D11" s="2">
        <v>1.0</v>
      </c>
      <c r="E11" s="2" t="s">
        <v>18</v>
      </c>
      <c r="F11" s="2">
        <v>800.0</v>
      </c>
      <c r="G11" s="2" t="s">
        <v>19</v>
      </c>
    </row>
    <row r="12">
      <c r="A12" s="3" t="s">
        <v>80</v>
      </c>
      <c r="B12" s="2" t="s">
        <v>138</v>
      </c>
      <c r="C12" s="2" t="s">
        <v>139</v>
      </c>
      <c r="D12" s="2">
        <v>1.0</v>
      </c>
      <c r="E12" s="2" t="s">
        <v>68</v>
      </c>
      <c r="F12" s="2">
        <v>500.0</v>
      </c>
      <c r="G12" s="2" t="s">
        <v>59</v>
      </c>
    </row>
    <row r="13">
      <c r="A13" s="3" t="s">
        <v>85</v>
      </c>
      <c r="B13" s="2" t="s">
        <v>140</v>
      </c>
      <c r="C13" s="2" t="s">
        <v>141</v>
      </c>
      <c r="D13" s="2">
        <v>1.0</v>
      </c>
      <c r="E13" s="2" t="s">
        <v>13</v>
      </c>
      <c r="F13" s="2" t="s">
        <v>14</v>
      </c>
      <c r="G13" s="2" t="s">
        <v>15</v>
      </c>
    </row>
    <row r="14">
      <c r="A14" s="3" t="s">
        <v>85</v>
      </c>
      <c r="B14" s="2" t="s">
        <v>136</v>
      </c>
      <c r="C14" s="2" t="s">
        <v>142</v>
      </c>
      <c r="D14" s="2">
        <v>1.0</v>
      </c>
      <c r="E14" s="2" t="s">
        <v>43</v>
      </c>
      <c r="F14" s="2" t="s">
        <v>44</v>
      </c>
      <c r="G14" s="2" t="s">
        <v>45</v>
      </c>
    </row>
    <row r="15">
      <c r="A15" s="3" t="s">
        <v>85</v>
      </c>
      <c r="B15" s="2" t="s">
        <v>143</v>
      </c>
      <c r="C15" s="2" t="s">
        <v>144</v>
      </c>
      <c r="D15" s="2">
        <v>1.0</v>
      </c>
      <c r="E15" s="2" t="s">
        <v>145</v>
      </c>
      <c r="F15" s="2" t="s">
        <v>48</v>
      </c>
      <c r="G15" s="2" t="s">
        <v>49</v>
      </c>
    </row>
    <row r="16">
      <c r="A16" s="3" t="s">
        <v>85</v>
      </c>
      <c r="B16" s="2" t="s">
        <v>138</v>
      </c>
      <c r="C16" s="2" t="s">
        <v>146</v>
      </c>
      <c r="D16" s="2">
        <v>1.0</v>
      </c>
      <c r="E16" s="2" t="s">
        <v>26</v>
      </c>
      <c r="F16" s="2" t="s">
        <v>27</v>
      </c>
      <c r="G16" s="2" t="s">
        <v>28</v>
      </c>
    </row>
    <row r="17">
      <c r="A17" s="3" t="s">
        <v>90</v>
      </c>
      <c r="B17" s="2" t="s">
        <v>147</v>
      </c>
      <c r="C17" s="2" t="s">
        <v>148</v>
      </c>
      <c r="D17" s="2">
        <v>1.0</v>
      </c>
      <c r="E17" s="2" t="s">
        <v>149</v>
      </c>
      <c r="F17" s="2" t="s">
        <v>30</v>
      </c>
      <c r="G17" s="2" t="s">
        <v>150</v>
      </c>
    </row>
    <row r="18">
      <c r="A18" s="3" t="s">
        <v>90</v>
      </c>
      <c r="B18" s="2" t="s">
        <v>151</v>
      </c>
      <c r="C18" s="2" t="s">
        <v>152</v>
      </c>
      <c r="D18" s="2">
        <v>1.0</v>
      </c>
      <c r="E18" s="2" t="s">
        <v>67</v>
      </c>
      <c r="F18" s="2" t="s">
        <v>63</v>
      </c>
      <c r="G18" s="2" t="s">
        <v>102</v>
      </c>
    </row>
    <row r="19">
      <c r="A19" s="3" t="s">
        <v>90</v>
      </c>
      <c r="B19" s="2" t="s">
        <v>153</v>
      </c>
      <c r="C19" s="2" t="s">
        <v>154</v>
      </c>
      <c r="D19" s="2">
        <v>1.0</v>
      </c>
      <c r="E19" s="2" t="s">
        <v>145</v>
      </c>
      <c r="F19" s="2" t="s">
        <v>155</v>
      </c>
      <c r="G19" s="2" t="s">
        <v>156</v>
      </c>
    </row>
    <row r="20">
      <c r="A20" s="3" t="s">
        <v>103</v>
      </c>
      <c r="B20" s="4"/>
      <c r="C20" s="4"/>
      <c r="D20" s="4"/>
      <c r="E20" s="3" t="s">
        <v>157</v>
      </c>
      <c r="F20" s="3" t="s">
        <v>158</v>
      </c>
      <c r="G20" s="3" t="s">
        <v>159</v>
      </c>
    </row>
  </sheetData>
  <drawing r:id="rId1"/>
</worksheet>
</file>