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Ự ÁN NHÀ MÁY NƯỚC\"/>
    </mc:Choice>
  </mc:AlternateContent>
  <bookViews>
    <workbookView xWindow="0" yWindow="0" windowWidth="23040" windowHeight="8496"/>
  </bookViews>
  <sheets>
    <sheet name="Danh_sach_thiet_bi" sheetId="1" r:id="rId1"/>
    <sheet name="Layout nhà xuong" sheetId="3" r:id="rId2"/>
    <sheet name="Doanh_thu_chi_phi" sheetId="5" r:id="rId3"/>
    <sheet name="Thang" sheetId="6" r:id="rId4"/>
    <sheet name="Hoan_von" sheetId="7" r:id="rId5"/>
  </sheets>
  <calcPr calcId="162913"/>
</workbook>
</file>

<file path=xl/calcChain.xml><?xml version="1.0" encoding="utf-8"?>
<calcChain xmlns="http://schemas.openxmlformats.org/spreadsheetml/2006/main">
  <c r="B1" i="6" l="1"/>
  <c r="F4" i="5"/>
  <c r="D4" i="5"/>
  <c r="F3" i="5"/>
  <c r="D3" i="5"/>
  <c r="F2" i="5"/>
  <c r="F7" i="5" s="1"/>
  <c r="D2" i="5"/>
  <c r="D6" i="5" s="1"/>
  <c r="D8" i="5" s="1"/>
  <c r="F21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  <c r="B2" i="7" l="1"/>
  <c r="B3" i="7" s="1"/>
</calcChain>
</file>

<file path=xl/sharedStrings.xml><?xml version="1.0" encoding="utf-8"?>
<sst xmlns="http://schemas.openxmlformats.org/spreadsheetml/2006/main" count="78" uniqueCount="62">
  <si>
    <t>Nhóm</t>
  </si>
  <si>
    <t>Thiết bị</t>
  </si>
  <si>
    <t>Mô tả</t>
  </si>
  <si>
    <t>Số lượng</t>
  </si>
  <si>
    <t>Đơn giá (VND)</t>
  </si>
  <si>
    <t>Thành tiền (VND)</t>
  </si>
  <si>
    <t>Ghi chú</t>
  </si>
  <si>
    <t>Hệ lọc INOX</t>
  </si>
  <si>
    <t>Cột lọc đa tầng INOX</t>
  </si>
  <si>
    <t>Lọc cặn thô</t>
  </si>
  <si>
    <t>Cột than hoạt tính INOX</t>
  </si>
  <si>
    <t>Khử mùi, clo</t>
  </si>
  <si>
    <t>Cột làm mềm INOX</t>
  </si>
  <si>
    <t>Giảm độ cứng</t>
  </si>
  <si>
    <t>Hệ lọc</t>
  </si>
  <si>
    <t>Hệ RO 1000L/h</t>
  </si>
  <si>
    <t>Lọc tinh</t>
  </si>
  <si>
    <t>Đèn UV</t>
  </si>
  <si>
    <t>Diệt khuẩn</t>
  </si>
  <si>
    <t>Ozone</t>
  </si>
  <si>
    <t>Khử khuẩn sâu</t>
  </si>
  <si>
    <t>Bồn INOX</t>
  </si>
  <si>
    <t>Chứa nước sạch</t>
  </si>
  <si>
    <t>Bình 21L</t>
  </si>
  <si>
    <t>Máy rửa bình</t>
  </si>
  <si>
    <t>Rửa trong ngoài</t>
  </si>
  <si>
    <t>Máy chiết rót</t>
  </si>
  <si>
    <t>Chiết nước</t>
  </si>
  <si>
    <t>Máy đóng nắp</t>
  </si>
  <si>
    <t>Đóng nắp bình</t>
  </si>
  <si>
    <t>Máy co màng</t>
  </si>
  <si>
    <t>Niêm phong</t>
  </si>
  <si>
    <t>Chai nhỏ</t>
  </si>
  <si>
    <t>Máy chiết 4 vòi</t>
  </si>
  <si>
    <t>Chiết chai nhỏ</t>
  </si>
  <si>
    <t>Đóng nắp chai</t>
  </si>
  <si>
    <t>Máy dán nhãn</t>
  </si>
  <si>
    <t>Dán tem</t>
  </si>
  <si>
    <t>Co màng lốc</t>
  </si>
  <si>
    <t>Hạ tầng</t>
  </si>
  <si>
    <t>Nhà xưởng</t>
  </si>
  <si>
    <t>100-150m2</t>
  </si>
  <si>
    <t>Phòng sạch</t>
  </si>
  <si>
    <t>Panel</t>
  </si>
  <si>
    <t>Điện nước</t>
  </si>
  <si>
    <t>3 pha</t>
  </si>
  <si>
    <t>Tông chi phí</t>
  </si>
  <si>
    <t>Hạng mục</t>
  </si>
  <si>
    <t>Số lượng/ngày</t>
  </si>
  <si>
    <t>Giá bán (VND)</t>
  </si>
  <si>
    <t>Doanh thu/ngày</t>
  </si>
  <si>
    <t>Chi phí đơn vị</t>
  </si>
  <si>
    <t>Chi phí/ngày</t>
  </si>
  <si>
    <t>Chai 350ml</t>
  </si>
  <si>
    <t>Chai 1.5L</t>
  </si>
  <si>
    <t>Tổng doanh thu/ngày</t>
  </si>
  <si>
    <t>Tổng chi phí/ngày</t>
  </si>
  <si>
    <t>Lợi nhuận/ngày</t>
  </si>
  <si>
    <t>Lợi nhuận/tháng (30 ngày)</t>
  </si>
  <si>
    <t>Tổng vốn đầu tư</t>
  </si>
  <si>
    <t>Lợi nhuận/tháng</t>
  </si>
  <si>
    <t>Số tháng hoàn vốn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</si>
</sst>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;[Red]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447672</xdr:colOff>
      <xdr:row>0</xdr:row>
      <xdr:rowOff>106680</xdr:rowOff>
    </xdr:from>
    <xdr:to>
      <xdr:col>14</xdr:col>
      <xdr:colOff>106680</xdr:colOff>
      <xdr:row>35</xdr:row>
      <xdr:rowOff>132303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672" y="106680"/>
          <a:ext cx="8193408" cy="6426423"/>
        </a:xfrm>
        <a:prstGeom prst="rect">
          <a:avLst/>
        </a:prstGeom>
      </xdr:spPr>
    </xdr:pic>
    <xdr:clientData/>
  </xdr:twoCellAnchor>
  <xdr:twoCellAnchor editAs="oneCell">
    <xdr:from>
      <xdr:col>1</xdr:col>
      <xdr:colOff>167640</xdr:colOff>
      <xdr:row>35</xdr:row>
      <xdr:rowOff>152400</xdr:rowOff>
    </xdr:from>
    <xdr:to>
      <xdr:col>10</xdr:col>
      <xdr:colOff>53806</xdr:colOff>
      <xdr:row>62</xdr:row>
      <xdr:rowOff>15656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7240" y="6553200"/>
          <a:ext cx="5372566" cy="4801016"/>
        </a:xfrm>
        <a:prstGeom prst="rect">
          <a:avLst/>
        </a:prstGeom>
      </xdr:spPr>
    </xdr:pic>
    <xdr:clientData/>
  </xdr:twoCellAnchor>
  <xdr:twoCellAnchor editAs="oneCell">
    <xdr:from>
      <xdr:col>1</xdr:col>
      <xdr:colOff>160020</xdr:colOff>
      <xdr:row>62</xdr:row>
      <xdr:rowOff>0</xdr:rowOff>
    </xdr:from>
    <xdr:to>
      <xdr:col>11</xdr:col>
      <xdr:colOff>221514</xdr:colOff>
      <xdr:row>81</xdr:row>
      <xdr:rowOff>160335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9620" y="11338560"/>
          <a:ext cx="6157494" cy="363505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workbookViewId="0">
      <selection activeCell="A17" sqref="A17:B19"/>
    </sheetView>
  </sheetViews>
  <sheetFormatPr defaultRowHeight="14.4" x14ac:dyDescent="0.3"/>
  <cols>
    <col min="1" max="1" width="18.109375" customWidth="1"/>
    <col min="2" max="2" width="20.6640625" bestFit="1" customWidth="1"/>
    <col min="3" max="3" width="14.21875" bestFit="1" customWidth="1"/>
    <col min="4" max="4" width="8.109375" bestFit="1" customWidth="1"/>
    <col min="5" max="5" width="14.5546875" bestFit="1" customWidth="1"/>
    <col min="6" max="6" width="1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>
        <v>1</v>
      </c>
      <c r="E2" s="1">
        <v>20000000</v>
      </c>
      <c r="F2" s="1">
        <f t="shared" ref="F2:F19" si="0">D2*E2</f>
        <v>20000000</v>
      </c>
    </row>
    <row r="3" spans="1:7" x14ac:dyDescent="0.3">
      <c r="A3" t="s">
        <v>7</v>
      </c>
      <c r="B3" t="s">
        <v>10</v>
      </c>
      <c r="C3" t="s">
        <v>11</v>
      </c>
      <c r="D3">
        <v>1</v>
      </c>
      <c r="E3" s="1">
        <v>20000000</v>
      </c>
      <c r="F3" s="1">
        <f t="shared" si="0"/>
        <v>20000000</v>
      </c>
    </row>
    <row r="4" spans="1:7" x14ac:dyDescent="0.3">
      <c r="A4" t="s">
        <v>7</v>
      </c>
      <c r="B4" t="s">
        <v>12</v>
      </c>
      <c r="C4" t="s">
        <v>13</v>
      </c>
      <c r="D4">
        <v>1</v>
      </c>
      <c r="E4" s="1">
        <v>20000000</v>
      </c>
      <c r="F4" s="1">
        <f t="shared" si="0"/>
        <v>20000000</v>
      </c>
    </row>
    <row r="5" spans="1:7" x14ac:dyDescent="0.3">
      <c r="A5" t="s">
        <v>14</v>
      </c>
      <c r="B5" t="s">
        <v>15</v>
      </c>
      <c r="C5" t="s">
        <v>16</v>
      </c>
      <c r="D5">
        <v>1</v>
      </c>
      <c r="E5" s="1">
        <v>80000000</v>
      </c>
      <c r="F5" s="1">
        <f t="shared" si="0"/>
        <v>80000000</v>
      </c>
    </row>
    <row r="6" spans="1:7" x14ac:dyDescent="0.3">
      <c r="A6" t="s">
        <v>14</v>
      </c>
      <c r="B6" t="s">
        <v>17</v>
      </c>
      <c r="C6" t="s">
        <v>18</v>
      </c>
      <c r="D6">
        <v>1</v>
      </c>
      <c r="E6" s="1">
        <v>5000000</v>
      </c>
      <c r="F6" s="1">
        <f t="shared" si="0"/>
        <v>5000000</v>
      </c>
    </row>
    <row r="7" spans="1:7" x14ac:dyDescent="0.3">
      <c r="A7" t="s">
        <v>14</v>
      </c>
      <c r="B7" t="s">
        <v>19</v>
      </c>
      <c r="C7" t="s">
        <v>20</v>
      </c>
      <c r="D7">
        <v>1</v>
      </c>
      <c r="E7" s="1">
        <v>8000000</v>
      </c>
      <c r="F7" s="1">
        <f t="shared" si="0"/>
        <v>8000000</v>
      </c>
    </row>
    <row r="8" spans="1:7" x14ac:dyDescent="0.3">
      <c r="A8" t="s">
        <v>14</v>
      </c>
      <c r="B8" t="s">
        <v>21</v>
      </c>
      <c r="C8" t="s">
        <v>22</v>
      </c>
      <c r="D8">
        <v>1</v>
      </c>
      <c r="E8" s="1">
        <v>20000000</v>
      </c>
      <c r="F8" s="1">
        <f t="shared" si="0"/>
        <v>20000000</v>
      </c>
    </row>
    <row r="9" spans="1:7" x14ac:dyDescent="0.3">
      <c r="A9" t="s">
        <v>23</v>
      </c>
      <c r="B9" t="s">
        <v>24</v>
      </c>
      <c r="C9" t="s">
        <v>25</v>
      </c>
      <c r="D9">
        <v>1</v>
      </c>
      <c r="E9" s="1">
        <v>60000000</v>
      </c>
      <c r="F9" s="1">
        <f t="shared" si="0"/>
        <v>60000000</v>
      </c>
    </row>
    <row r="10" spans="1:7" x14ac:dyDescent="0.3">
      <c r="A10" t="s">
        <v>23</v>
      </c>
      <c r="B10" t="s">
        <v>26</v>
      </c>
      <c r="C10" t="s">
        <v>27</v>
      </c>
      <c r="D10">
        <v>1</v>
      </c>
      <c r="E10" s="1">
        <v>50000000</v>
      </c>
      <c r="F10" s="1">
        <f t="shared" si="0"/>
        <v>50000000</v>
      </c>
    </row>
    <row r="11" spans="1:7" x14ac:dyDescent="0.3">
      <c r="A11" t="s">
        <v>23</v>
      </c>
      <c r="B11" t="s">
        <v>28</v>
      </c>
      <c r="C11" t="s">
        <v>29</v>
      </c>
      <c r="D11">
        <v>1</v>
      </c>
      <c r="E11" s="1">
        <v>30000000</v>
      </c>
      <c r="F11" s="1">
        <f t="shared" si="0"/>
        <v>30000000</v>
      </c>
    </row>
    <row r="12" spans="1:7" x14ac:dyDescent="0.3">
      <c r="A12" t="s">
        <v>23</v>
      </c>
      <c r="B12" t="s">
        <v>30</v>
      </c>
      <c r="C12" t="s">
        <v>31</v>
      </c>
      <c r="D12">
        <v>1</v>
      </c>
      <c r="E12" s="1">
        <v>20000000</v>
      </c>
      <c r="F12" s="1">
        <f t="shared" si="0"/>
        <v>20000000</v>
      </c>
    </row>
    <row r="13" spans="1:7" x14ac:dyDescent="0.3">
      <c r="A13" t="s">
        <v>32</v>
      </c>
      <c r="B13" t="s">
        <v>33</v>
      </c>
      <c r="C13" t="s">
        <v>34</v>
      </c>
      <c r="D13">
        <v>1</v>
      </c>
      <c r="E13" s="1">
        <v>30000000</v>
      </c>
      <c r="F13" s="1">
        <f t="shared" si="0"/>
        <v>30000000</v>
      </c>
    </row>
    <row r="14" spans="1:7" x14ac:dyDescent="0.3">
      <c r="A14" t="s">
        <v>32</v>
      </c>
      <c r="B14" t="s">
        <v>28</v>
      </c>
      <c r="C14" t="s">
        <v>35</v>
      </c>
      <c r="D14">
        <v>1</v>
      </c>
      <c r="E14" s="1">
        <v>15000000</v>
      </c>
      <c r="F14" s="1">
        <f t="shared" si="0"/>
        <v>15000000</v>
      </c>
    </row>
    <row r="15" spans="1:7" x14ac:dyDescent="0.3">
      <c r="A15" t="s">
        <v>32</v>
      </c>
      <c r="B15" t="s">
        <v>36</v>
      </c>
      <c r="C15" t="s">
        <v>37</v>
      </c>
      <c r="D15">
        <v>1</v>
      </c>
      <c r="E15" s="1">
        <v>20000000</v>
      </c>
      <c r="F15" s="1">
        <f t="shared" si="0"/>
        <v>20000000</v>
      </c>
    </row>
    <row r="16" spans="1:7" x14ac:dyDescent="0.3">
      <c r="A16" t="s">
        <v>32</v>
      </c>
      <c r="B16" t="s">
        <v>30</v>
      </c>
      <c r="C16" t="s">
        <v>38</v>
      </c>
      <c r="D16">
        <v>1</v>
      </c>
      <c r="E16" s="1">
        <v>15000000</v>
      </c>
      <c r="F16" s="1">
        <f t="shared" si="0"/>
        <v>15000000</v>
      </c>
    </row>
    <row r="17" spans="1:6" x14ac:dyDescent="0.3">
      <c r="A17" t="s">
        <v>39</v>
      </c>
      <c r="B17" t="s">
        <v>40</v>
      </c>
      <c r="C17" t="s">
        <v>41</v>
      </c>
      <c r="D17">
        <v>1</v>
      </c>
      <c r="E17" s="1">
        <v>150000000</v>
      </c>
      <c r="F17" s="1">
        <f t="shared" si="0"/>
        <v>150000000</v>
      </c>
    </row>
    <row r="18" spans="1:6" x14ac:dyDescent="0.3">
      <c r="A18" t="s">
        <v>39</v>
      </c>
      <c r="B18" t="s">
        <v>42</v>
      </c>
      <c r="C18" t="s">
        <v>43</v>
      </c>
      <c r="D18">
        <v>1</v>
      </c>
      <c r="E18" s="1">
        <v>80000000</v>
      </c>
      <c r="F18" s="1">
        <f t="shared" si="0"/>
        <v>80000000</v>
      </c>
    </row>
    <row r="19" spans="1:6" x14ac:dyDescent="0.3">
      <c r="A19" t="s">
        <v>39</v>
      </c>
      <c r="B19" t="s">
        <v>44</v>
      </c>
      <c r="C19" t="s">
        <v>45</v>
      </c>
      <c r="D19">
        <v>1</v>
      </c>
      <c r="E19" s="1">
        <v>30000000</v>
      </c>
      <c r="F19" s="1">
        <f t="shared" si="0"/>
        <v>30000000</v>
      </c>
    </row>
    <row r="21" spans="1:6" x14ac:dyDescent="0.3">
      <c r="E21" t="s">
        <v>46</v>
      </c>
      <c r="F21" s="1">
        <f>SUM(F2:F19)</f>
        <v>673000000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>
      <selection activeCell="P54" sqref="P54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>
      <selection activeCell="L14" sqref="L14"/>
    </sheetView>
  </sheetViews>
  <sheetFormatPr defaultRowHeight="14.4" x14ac:dyDescent="0.3"/>
  <cols>
    <col min="1" max="2" width="18.33203125" customWidth="1"/>
    <col min="3" max="3" width="12.33203125" bestFit="1" customWidth="1"/>
    <col min="4" max="4" width="14.109375" bestFit="1" customWidth="1"/>
    <col min="5" max="5" width="11.88671875" bestFit="1" customWidth="1"/>
    <col min="6" max="6" width="11" bestFit="1" customWidth="1"/>
  </cols>
  <sheetData>
    <row r="1" spans="1:6" x14ac:dyDescent="0.3">
      <c r="A1" t="s">
        <v>47</v>
      </c>
      <c r="B1" t="s">
        <v>48</v>
      </c>
      <c r="C1" t="s">
        <v>49</v>
      </c>
      <c r="D1" t="s">
        <v>50</v>
      </c>
      <c r="E1" t="s">
        <v>51</v>
      </c>
      <c r="F1" t="s">
        <v>52</v>
      </c>
    </row>
    <row r="2" spans="1:6" x14ac:dyDescent="0.3">
      <c r="A2" t="s">
        <v>23</v>
      </c>
      <c r="B2">
        <v>300</v>
      </c>
      <c r="C2">
        <v>20000</v>
      </c>
      <c r="D2">
        <f>B2*C2</f>
        <v>6000000</v>
      </c>
      <c r="E2">
        <v>12000</v>
      </c>
      <c r="F2">
        <f>B2*E2</f>
        <v>3600000</v>
      </c>
    </row>
    <row r="3" spans="1:6" x14ac:dyDescent="0.3">
      <c r="A3" t="s">
        <v>53</v>
      </c>
      <c r="B3">
        <v>300</v>
      </c>
      <c r="C3">
        <v>5000</v>
      </c>
      <c r="D3">
        <f>B3*C3</f>
        <v>1500000</v>
      </c>
      <c r="E3">
        <v>2500</v>
      </c>
      <c r="F3">
        <f>B3*E3</f>
        <v>750000</v>
      </c>
    </row>
    <row r="4" spans="1:6" x14ac:dyDescent="0.3">
      <c r="A4" t="s">
        <v>54</v>
      </c>
      <c r="B4">
        <v>300</v>
      </c>
      <c r="C4">
        <v>10000</v>
      </c>
      <c r="D4">
        <f>B4*C4</f>
        <v>3000000</v>
      </c>
      <c r="E4">
        <v>5000</v>
      </c>
      <c r="F4">
        <f>B4*E4</f>
        <v>1500000</v>
      </c>
    </row>
    <row r="6" spans="1:6" x14ac:dyDescent="0.3">
      <c r="A6" t="s">
        <v>55</v>
      </c>
      <c r="D6">
        <f>SUM(D2:D4)</f>
        <v>10500000</v>
      </c>
    </row>
    <row r="7" spans="1:6" x14ac:dyDescent="0.3">
      <c r="A7" t="s">
        <v>56</v>
      </c>
      <c r="F7">
        <f>SUM(F2:F4)</f>
        <v>5850000</v>
      </c>
    </row>
    <row r="8" spans="1:6" x14ac:dyDescent="0.3">
      <c r="A8" t="s">
        <v>57</v>
      </c>
      <c r="D8">
        <f>D6-F7</f>
        <v>4650000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C7" sqref="C7"/>
    </sheetView>
  </sheetViews>
  <sheetFormatPr defaultRowHeight="14.4" x14ac:dyDescent="0.3"/>
  <cols>
    <col min="1" max="1" width="22.33203125" bestFit="1" customWidth="1"/>
    <col min="2" max="2" width="10" bestFit="1" customWidth="1"/>
  </cols>
  <sheetData>
    <row r="1" spans="1:2" x14ac:dyDescent="0.3">
      <c r="A1" t="s">
        <v>58</v>
      </c>
      <c r="B1">
        <f>Doanh_thu_chi_phi!D8*30</f>
        <v>139500000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C16" sqref="C16"/>
    </sheetView>
  </sheetViews>
  <sheetFormatPr defaultRowHeight="14.4" x14ac:dyDescent="0.3"/>
  <cols>
    <col min="1" max="1" width="16.109375" bestFit="1" customWidth="1"/>
    <col min="2" max="2" width="12" bestFit="1" customWidth="1"/>
  </cols>
  <sheetData>
    <row r="1" spans="1:2" x14ac:dyDescent="0.3">
      <c r="A1" t="s">
        <v>59</v>
      </c>
      <c r="B1">
        <v>700000000</v>
      </c>
    </row>
    <row r="2" spans="1:2" x14ac:dyDescent="0.3">
      <c r="A2" t="s">
        <v>60</v>
      </c>
      <c r="B2">
        <f>Thang!B1</f>
        <v>139500000</v>
      </c>
    </row>
    <row r="3" spans="1:2" x14ac:dyDescent="0.3">
      <c r="A3" t="s">
        <v>61</v>
      </c>
      <c r="B3">
        <f>B1/B2</f>
        <v>5.0179211469534053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Danh_sach_thiet_bi</vt:lpstr>
      <vt:lpstr>Layout nhà xuong</vt:lpstr>
      <vt:lpstr>Doanh_thu_chi_phi</vt:lpstr>
      <vt:lpstr>Thang</vt:lpstr>
      <vt:lpstr>Hoan_von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2026-05-04T06:14:07Z</dcterms:created>
  <dcterms:modified xsi:type="dcterms:W3CDTF">2026-05-05T13:39:33Z</dcterms:modified>
</cp:coreProperties>
</file>