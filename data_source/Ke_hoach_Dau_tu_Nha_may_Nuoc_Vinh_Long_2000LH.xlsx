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Ự ÁN NHÀ MÁY NƯỚC\"/>
    </mc:Choice>
  </mc:AlternateContent>
  <bookViews>
    <workbookView xWindow="0" yWindow="0" windowWidth="23040" windowHeight="8496"/>
  </bookViews>
  <sheets>
    <sheet name="Tong Quan Dau Tu" sheetId="1" r:id="rId1"/>
    <sheet name="Van Hanh &amp; Doanh Thu" sheetId="2" r:id="rId2"/>
  </sheets>
  <calcPr calcId="162913"/>
</workbook>
</file>

<file path=xl/calcChain.xml><?xml version="1.0" encoding="utf-8"?>
<calcChain xmlns="http://schemas.openxmlformats.org/spreadsheetml/2006/main">
  <c r="F21" i="1" l="1"/>
</calcChain>
</file>

<file path=xl/sharedStrings.xml><?xml version="1.0" encoding="utf-8"?>
<sst xmlns="http://schemas.openxmlformats.org/spreadsheetml/2006/main" count="70" uniqueCount="63">
  <si>
    <t>Hạng mục</t>
  </si>
  <si>
    <t>Chi tiết công việc/Thiết bị</t>
  </si>
  <si>
    <t>Đơn vị</t>
  </si>
  <si>
    <t>Số lượng</t>
  </si>
  <si>
    <t>Đơn giá (VNĐ)</t>
  </si>
  <si>
    <t>Thành tiền (VNĐ)</t>
  </si>
  <si>
    <t>Ghi chú</t>
  </si>
  <si>
    <t>I. XÂY DỰNG NHÀ XƯỞNG TIỀN CHẾ (100m2)</t>
  </si>
  <si>
    <t>Chuẩn ATVSTP</t>
  </si>
  <si>
    <t>Thi công khung thép, mái tôn, vách</t>
  </si>
  <si>
    <t>m2</t>
  </si>
  <si>
    <t>Nâng nền chống ngập</t>
  </si>
  <si>
    <t>Sơn nền Epoxy/Lát gạch men</t>
  </si>
  <si>
    <t>Gói</t>
  </si>
  <si>
    <t>Dễ vệ sinh</t>
  </si>
  <si>
    <t>Phòng chiết rót (Vách kính/Panel)</t>
  </si>
  <si>
    <t>Kín, vô trùng</t>
  </si>
  <si>
    <t>Hệ thống điện, thoát nước xả thải</t>
  </si>
  <si>
    <t>Thoát nước công suất lớn</t>
  </si>
  <si>
    <t>II. HỆ THỐNG MÁY MÓC (Dựa trên Việt An)</t>
  </si>
  <si>
    <t>Công suất 2000L/h</t>
  </si>
  <si>
    <t>Dây chuyền lọc RO VACC2000</t>
  </si>
  <si>
    <t>Hệ</t>
  </si>
  <si>
    <t>Cấu hình chuẩn Việt An</t>
  </si>
  <si>
    <t>Nâng cấp màng RO nước lợ (BW 8040)</t>
  </si>
  <si>
    <t>Cái</t>
  </si>
  <si>
    <t>Xử lý mặn 1-5%o</t>
  </si>
  <si>
    <t>Bàn chiết rót bán tự động</t>
  </si>
  <si>
    <t>Bộ</t>
  </si>
  <si>
    <t>Tích hợp súc rửa</t>
  </si>
  <si>
    <t>Bồn chứa Inox 304 (5000 Lít)</t>
  </si>
  <si>
    <t>Bồn</t>
  </si>
  <si>
    <t>1 bồn thô, 1 bồn tinh</t>
  </si>
  <si>
    <t>Hệ thống UV, Ozone, Bơm phụ</t>
  </si>
  <si>
    <t>Diệt khuẩn cưỡng bức</t>
  </si>
  <si>
    <t>III. VỎ BÌNH &amp; VẬT TƯ BAN ĐẦU</t>
  </si>
  <si>
    <t>Xoay vòng</t>
  </si>
  <si>
    <t>Vỏ bình 21L (Nhựa PC cao cấp)</t>
  </si>
  <si>
    <t>Dự phòng xoay vòng</t>
  </si>
  <si>
    <t>Vỏ chai nhỏ (250, 350, 500ml)</t>
  </si>
  <si>
    <t>Kiện</t>
  </si>
  <si>
    <t>Mẫu mã ban đầu</t>
  </si>
  <si>
    <t>Màng co, nắp, nhãn mác</t>
  </si>
  <si>
    <t>Lô</t>
  </si>
  <si>
    <t>Thiết kế thương hiệu</t>
  </si>
  <si>
    <t>IV. PHÁP LÝ &amp; KHÁC</t>
  </si>
  <si>
    <t>GPKD, Giấy ATVSTP, Công bố SP</t>
  </si>
  <si>
    <t>Làm trọn gói</t>
  </si>
  <si>
    <t>Xét nghiệm mẫu nước (26 chỉ tiêu)</t>
  </si>
  <si>
    <t>Mẫu</t>
  </si>
  <si>
    <t>Viện Pasteur/Trung tâm</t>
  </si>
  <si>
    <t>Dự phòng phí phát sinh</t>
  </si>
  <si>
    <t>10% dự phòng</t>
  </si>
  <si>
    <t>TỔNG ĐẦU TƯ DỰ KIẾN:</t>
  </si>
  <si>
    <t>Năng định sản xuất &amp; Dự toán doanh thu/ngày</t>
  </si>
  <si>
    <t>Sản phẩm</t>
  </si>
  <si>
    <t>Sản lượng/Ngày</t>
  </si>
  <si>
    <t>Giá bán sỉ (VNĐ)</t>
  </si>
  <si>
    <t>Doanh thu (VNĐ)</t>
  </si>
  <si>
    <t>Bình 21L</t>
  </si>
  <si>
    <t>Giá sỉ tại xưởng</t>
  </si>
  <si>
    <t>Chai 350ml/500ml</t>
  </si>
  <si>
    <t>2500đ/chai (thùng 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</si>
</sst>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E15" sqref="E15"/>
    </sheetView>
  </sheetViews>
  <sheetFormatPr defaultRowHeight="14.4" x14ac:dyDescent="0.3"/>
  <cols>
    <col min="1" max="1" width="30" customWidth="1"/>
    <col min="2" max="2" width="35" customWidth="1"/>
    <col min="3" max="3" width="15" customWidth="1"/>
    <col min="4" max="4" width="14.88671875" customWidth="1"/>
    <col min="5" max="6" width="20" customWidth="1"/>
    <col min="7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G2" t="s">
        <v>8</v>
      </c>
    </row>
    <row r="3" spans="1:7" x14ac:dyDescent="0.3">
      <c r="B3" t="s">
        <v>9</v>
      </c>
      <c r="C3" t="s">
        <v>10</v>
      </c>
      <c r="D3">
        <v>100</v>
      </c>
      <c r="E3">
        <v>1800000</v>
      </c>
      <c r="F3">
        <v>180000000</v>
      </c>
      <c r="G3" t="s">
        <v>11</v>
      </c>
    </row>
    <row r="4" spans="1:7" x14ac:dyDescent="0.3">
      <c r="B4" t="s">
        <v>12</v>
      </c>
      <c r="C4" t="s">
        <v>13</v>
      </c>
      <c r="D4">
        <v>1</v>
      </c>
      <c r="E4">
        <v>15000000</v>
      </c>
      <c r="F4">
        <v>15000000</v>
      </c>
      <c r="G4" t="s">
        <v>14</v>
      </c>
    </row>
    <row r="5" spans="1:7" x14ac:dyDescent="0.3">
      <c r="B5" t="s">
        <v>15</v>
      </c>
      <c r="C5" t="s">
        <v>13</v>
      </c>
      <c r="D5">
        <v>1</v>
      </c>
      <c r="E5">
        <v>20000000</v>
      </c>
      <c r="F5">
        <v>20000000</v>
      </c>
      <c r="G5" t="s">
        <v>16</v>
      </c>
    </row>
    <row r="6" spans="1:7" x14ac:dyDescent="0.3">
      <c r="B6" t="s">
        <v>17</v>
      </c>
      <c r="C6" t="s">
        <v>13</v>
      </c>
      <c r="D6">
        <v>1</v>
      </c>
      <c r="E6">
        <v>15000000</v>
      </c>
      <c r="F6">
        <v>15000000</v>
      </c>
      <c r="G6" t="s">
        <v>18</v>
      </c>
    </row>
    <row r="7" spans="1:7" x14ac:dyDescent="0.3">
      <c r="A7" t="s">
        <v>19</v>
      </c>
      <c r="G7" t="s">
        <v>20</v>
      </c>
    </row>
    <row r="8" spans="1:7" x14ac:dyDescent="0.3">
      <c r="B8" t="s">
        <v>21</v>
      </c>
      <c r="C8" t="s">
        <v>22</v>
      </c>
      <c r="D8">
        <v>1</v>
      </c>
      <c r="E8">
        <v>149000000</v>
      </c>
      <c r="F8">
        <v>149000000</v>
      </c>
      <c r="G8" t="s">
        <v>23</v>
      </c>
    </row>
    <row r="9" spans="1:7" x14ac:dyDescent="0.3">
      <c r="B9" t="s">
        <v>24</v>
      </c>
      <c r="C9" t="s">
        <v>25</v>
      </c>
      <c r="D9">
        <v>2</v>
      </c>
      <c r="E9">
        <v>7500000</v>
      </c>
      <c r="F9">
        <v>15000000</v>
      </c>
      <c r="G9" t="s">
        <v>26</v>
      </c>
    </row>
    <row r="10" spans="1:7" x14ac:dyDescent="0.3">
      <c r="B10" t="s">
        <v>27</v>
      </c>
      <c r="C10" t="s">
        <v>28</v>
      </c>
      <c r="D10">
        <v>1</v>
      </c>
      <c r="E10">
        <v>25000000</v>
      </c>
      <c r="F10">
        <v>25000000</v>
      </c>
      <c r="G10" t="s">
        <v>29</v>
      </c>
    </row>
    <row r="11" spans="1:7" x14ac:dyDescent="0.3">
      <c r="B11" t="s">
        <v>30</v>
      </c>
      <c r="C11" t="s">
        <v>31</v>
      </c>
      <c r="D11">
        <v>2</v>
      </c>
      <c r="E11">
        <v>17500000</v>
      </c>
      <c r="F11">
        <v>35000000</v>
      </c>
      <c r="G11" t="s">
        <v>32</v>
      </c>
    </row>
    <row r="12" spans="1:7" x14ac:dyDescent="0.3">
      <c r="B12" t="s">
        <v>33</v>
      </c>
      <c r="C12" t="s">
        <v>13</v>
      </c>
      <c r="D12">
        <v>1</v>
      </c>
      <c r="E12">
        <v>10000000</v>
      </c>
      <c r="F12">
        <v>10000000</v>
      </c>
      <c r="G12" t="s">
        <v>34</v>
      </c>
    </row>
    <row r="13" spans="1:7" x14ac:dyDescent="0.3">
      <c r="A13" t="s">
        <v>35</v>
      </c>
      <c r="G13" t="s">
        <v>36</v>
      </c>
    </row>
    <row r="14" spans="1:7" x14ac:dyDescent="0.3">
      <c r="B14" t="s">
        <v>37</v>
      </c>
      <c r="C14" t="s">
        <v>25</v>
      </c>
      <c r="D14">
        <v>1000</v>
      </c>
      <c r="E14">
        <v>45000</v>
      </c>
      <c r="F14">
        <v>45000000</v>
      </c>
      <c r="G14" t="s">
        <v>38</v>
      </c>
    </row>
    <row r="15" spans="1:7" x14ac:dyDescent="0.3">
      <c r="B15" t="s">
        <v>39</v>
      </c>
      <c r="C15" t="s">
        <v>40</v>
      </c>
      <c r="D15">
        <v>10</v>
      </c>
      <c r="E15">
        <v>500000</v>
      </c>
      <c r="F15">
        <v>5000000</v>
      </c>
      <c r="G15" t="s">
        <v>41</v>
      </c>
    </row>
    <row r="16" spans="1:7" x14ac:dyDescent="0.3">
      <c r="B16" t="s">
        <v>42</v>
      </c>
      <c r="C16" t="s">
        <v>43</v>
      </c>
      <c r="D16">
        <v>1</v>
      </c>
      <c r="E16">
        <v>5000000</v>
      </c>
      <c r="F16">
        <v>5000000</v>
      </c>
      <c r="G16" t="s">
        <v>44</v>
      </c>
    </row>
    <row r="17" spans="1:7" x14ac:dyDescent="0.3">
      <c r="A17" t="s">
        <v>45</v>
      </c>
    </row>
    <row r="18" spans="1:7" x14ac:dyDescent="0.3">
      <c r="B18" t="s">
        <v>46</v>
      </c>
      <c r="C18" t="s">
        <v>13</v>
      </c>
      <c r="D18">
        <v>1</v>
      </c>
      <c r="E18">
        <v>15000000</v>
      </c>
      <c r="F18">
        <v>15000000</v>
      </c>
      <c r="G18" t="s">
        <v>47</v>
      </c>
    </row>
    <row r="19" spans="1:7" x14ac:dyDescent="0.3">
      <c r="B19" t="s">
        <v>48</v>
      </c>
      <c r="C19" t="s">
        <v>49</v>
      </c>
      <c r="D19">
        <v>1</v>
      </c>
      <c r="E19">
        <v>5000000</v>
      </c>
      <c r="F19">
        <v>5000000</v>
      </c>
      <c r="G19" t="s">
        <v>50</v>
      </c>
    </row>
    <row r="20" spans="1:7" x14ac:dyDescent="0.3">
      <c r="B20" t="s">
        <v>51</v>
      </c>
      <c r="C20" t="s">
        <v>13</v>
      </c>
      <c r="D20">
        <v>1</v>
      </c>
      <c r="E20">
        <v>15000000</v>
      </c>
      <c r="F20">
        <v>15000000</v>
      </c>
      <c r="G20" t="s">
        <v>52</v>
      </c>
    </row>
    <row r="21" spans="1:7" x14ac:dyDescent="0.3">
      <c r="E21" s="2" t="s">
        <v>53</v>
      </c>
      <c r="F21" s="2">
        <f>SUM(F2:F20)</f>
        <v>554000000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4.4" x14ac:dyDescent="0.3"/>
  <sheetData>
    <row r="1" spans="1:5" x14ac:dyDescent="0.3">
      <c r="A1" t="s">
        <v>54</v>
      </c>
    </row>
    <row r="2" spans="1:5" x14ac:dyDescent="0.3">
      <c r="A2" t="s">
        <v>55</v>
      </c>
      <c r="B2" t="s">
        <v>56</v>
      </c>
      <c r="C2" t="s">
        <v>57</v>
      </c>
      <c r="D2" t="s">
        <v>58</v>
      </c>
      <c r="E2" t="s">
        <v>6</v>
      </c>
    </row>
    <row r="3" spans="1:5" x14ac:dyDescent="0.3">
      <c r="A3" t="s">
        <v>59</v>
      </c>
      <c r="B3">
        <v>200</v>
      </c>
      <c r="C3">
        <v>12000</v>
      </c>
      <c r="D3">
        <v>2400000</v>
      </c>
      <c r="E3" t="s">
        <v>60</v>
      </c>
    </row>
    <row r="4" spans="1:5" x14ac:dyDescent="0.3">
      <c r="A4" t="s">
        <v>61</v>
      </c>
      <c r="B4">
        <v>600</v>
      </c>
      <c r="C4">
        <v>2500</v>
      </c>
      <c r="D4">
        <v>1500000</v>
      </c>
      <c r="E4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 Quan Dau Tu</vt:lpstr>
      <vt:lpstr>Van Hanh &amp; Doanh Thu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2026-05-07T08:17:58Z</dcterms:created>
  <dcterms:modified xsi:type="dcterms:W3CDTF">2026-05-13T01:59:20Z</dcterms:modified>
</cp:coreProperties>
</file>